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ços dos Materiais" sheetId="1" state="visible" r:id="rId1"/>
    <sheet xmlns:r="http://schemas.openxmlformats.org/officeDocument/2006/relationships" name="Móveis Industriais" sheetId="2" state="visible" r:id="rId2"/>
    <sheet xmlns:r="http://schemas.openxmlformats.org/officeDocument/2006/relationships" name="Bancadas Inox" sheetId="3" state="visible" r:id="rId3"/>
    <sheet xmlns:r="http://schemas.openxmlformats.org/officeDocument/2006/relationships" name="Barras de Apoio Ino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1" customWidth="1" min="3" max="3"/>
    <col width="28" customWidth="1" min="4" max="4"/>
  </cols>
  <sheetData>
    <row r="1">
      <c r="A1" s="1" t="inlineStr">
        <is>
          <t>Material / Serviço</t>
        </is>
      </c>
      <c r="B1" s="1" t="inlineStr">
        <is>
          <t>Especificação / Modelo</t>
        </is>
      </c>
      <c r="C1" s="1" t="inlineStr">
        <is>
          <t>Unidade Comercial</t>
        </is>
      </c>
      <c r="D1" s="1" t="inlineStr">
        <is>
          <t>Preço de Custo Cheio (R$)</t>
        </is>
      </c>
    </row>
    <row r="2">
      <c r="A2" s="2" t="inlineStr">
        <is>
          <t>MDF</t>
        </is>
      </c>
      <c r="B2" s="2" t="inlineStr">
        <is>
          <t>Preto</t>
        </is>
      </c>
      <c r="C2" s="2" t="inlineStr">
        <is>
          <t>Chapa (2.75x1.84m)</t>
        </is>
      </c>
      <c r="D2" s="3" t="n">
        <v>250</v>
      </c>
    </row>
    <row r="3">
      <c r="A3" s="2" t="inlineStr">
        <is>
          <t>MDF</t>
        </is>
      </c>
      <c r="B3" s="2" t="inlineStr">
        <is>
          <t>Branco</t>
        </is>
      </c>
      <c r="C3" s="2" t="inlineStr">
        <is>
          <t>Chapa (2.75x1.84m)</t>
        </is>
      </c>
      <c r="D3" s="3" t="n">
        <v>210</v>
      </c>
    </row>
    <row r="4">
      <c r="A4" s="2" t="inlineStr">
        <is>
          <t>MDF</t>
        </is>
      </c>
      <c r="B4" s="2" t="inlineStr">
        <is>
          <t>Cinza</t>
        </is>
      </c>
      <c r="C4" s="2" t="inlineStr">
        <is>
          <t>Chapa (2.75x1.84m)</t>
        </is>
      </c>
      <c r="D4" s="3" t="n">
        <v>240</v>
      </c>
    </row>
    <row r="5">
      <c r="A5" s="2" t="inlineStr">
        <is>
          <t>MDF</t>
        </is>
      </c>
      <c r="B5" s="2" t="inlineStr">
        <is>
          <t>Louro Freijó</t>
        </is>
      </c>
      <c r="C5" s="2" t="inlineStr">
        <is>
          <t>Chapa (2.75x1.84m)</t>
        </is>
      </c>
      <c r="D5" s="3" t="n">
        <v>310</v>
      </c>
    </row>
    <row r="6">
      <c r="A6" s="2" t="inlineStr">
        <is>
          <t>Fita de Borda</t>
        </is>
      </c>
      <c r="B6" s="2" t="inlineStr">
        <is>
          <t>Preto</t>
        </is>
      </c>
      <c r="C6" s="2" t="inlineStr">
        <is>
          <t>Rolo (20 metros)</t>
        </is>
      </c>
      <c r="D6" s="3" t="n">
        <v>45</v>
      </c>
    </row>
    <row r="7">
      <c r="A7" s="2" t="inlineStr">
        <is>
          <t>Fita de Borda</t>
        </is>
      </c>
      <c r="B7" s="2" t="inlineStr">
        <is>
          <t>Branco</t>
        </is>
      </c>
      <c r="C7" s="2" t="inlineStr">
        <is>
          <t>Rolo (20 metros)</t>
        </is>
      </c>
      <c r="D7" s="3" t="n">
        <v>35</v>
      </c>
    </row>
    <row r="8">
      <c r="A8" s="2" t="inlineStr">
        <is>
          <t>Fita de Borda</t>
        </is>
      </c>
      <c r="B8" s="2" t="inlineStr">
        <is>
          <t>Cinza</t>
        </is>
      </c>
      <c r="C8" s="2" t="inlineStr">
        <is>
          <t>Rolo (20 metros)</t>
        </is>
      </c>
      <c r="D8" s="3" t="n">
        <v>40</v>
      </c>
    </row>
    <row r="9">
      <c r="A9" s="2" t="inlineStr">
        <is>
          <t>Fita de Borda</t>
        </is>
      </c>
      <c r="B9" s="2" t="inlineStr">
        <is>
          <t>Louro Freijó</t>
        </is>
      </c>
      <c r="C9" s="2" t="inlineStr">
        <is>
          <t>Rolo (20 metros)</t>
        </is>
      </c>
      <c r="D9" s="3" t="n">
        <v>55</v>
      </c>
    </row>
    <row r="10">
      <c r="A10" s="2" t="inlineStr">
        <is>
          <t>Metalon Ferro</t>
        </is>
      </c>
      <c r="B10" s="2" t="inlineStr">
        <is>
          <t>15x15 Chapa 18</t>
        </is>
      </c>
      <c r="C10" s="2" t="inlineStr">
        <is>
          <t>Barra (6 metros)</t>
        </is>
      </c>
      <c r="D10" s="3" t="n">
        <v>45</v>
      </c>
    </row>
    <row r="11">
      <c r="A11" s="2" t="inlineStr">
        <is>
          <t>Metalon Ferro</t>
        </is>
      </c>
      <c r="B11" s="2" t="inlineStr">
        <is>
          <t>15x15 Chapa 20</t>
        </is>
      </c>
      <c r="C11" s="2" t="inlineStr">
        <is>
          <t>Barra (6 metros)</t>
        </is>
      </c>
      <c r="D11" s="3" t="n">
        <v>38</v>
      </c>
    </row>
    <row r="12">
      <c r="A12" s="2" t="inlineStr">
        <is>
          <t>Metalon Ferro</t>
        </is>
      </c>
      <c r="B12" s="2" t="inlineStr">
        <is>
          <t>20x20 Chapa 18</t>
        </is>
      </c>
      <c r="C12" s="2" t="inlineStr">
        <is>
          <t>Barra (6 metros)</t>
        </is>
      </c>
      <c r="D12" s="3" t="n">
        <v>55</v>
      </c>
    </row>
    <row r="13">
      <c r="A13" s="2" t="inlineStr">
        <is>
          <t>Metalon Ferro</t>
        </is>
      </c>
      <c r="B13" s="2" t="inlineStr">
        <is>
          <t>20x20 Chapa 20</t>
        </is>
      </c>
      <c r="C13" s="2" t="inlineStr">
        <is>
          <t>Barra (6 metros)</t>
        </is>
      </c>
      <c r="D13" s="3" t="n">
        <v>48</v>
      </c>
    </row>
    <row r="14">
      <c r="A14" s="2" t="inlineStr">
        <is>
          <t>Metalon Ferro</t>
        </is>
      </c>
      <c r="B14" s="2" t="inlineStr">
        <is>
          <t>20x30 Chapa 18</t>
        </is>
      </c>
      <c r="C14" s="2" t="inlineStr">
        <is>
          <t>Barra (6 metros)</t>
        </is>
      </c>
      <c r="D14" s="3" t="n">
        <v>65</v>
      </c>
    </row>
    <row r="15">
      <c r="A15" s="2" t="inlineStr">
        <is>
          <t>Metalon Ferro</t>
        </is>
      </c>
      <c r="B15" s="2" t="inlineStr">
        <is>
          <t>20x30 Chapa 20</t>
        </is>
      </c>
      <c r="C15" s="2" t="inlineStr">
        <is>
          <t>Barra (6 metros)</t>
        </is>
      </c>
      <c r="D15" s="3" t="n">
        <v>58</v>
      </c>
    </row>
    <row r="16">
      <c r="A16" s="2" t="inlineStr">
        <is>
          <t>Metalon Ferro</t>
        </is>
      </c>
      <c r="B16" s="2" t="inlineStr">
        <is>
          <t>30x40 Chapa 18</t>
        </is>
      </c>
      <c r="C16" s="2" t="inlineStr">
        <is>
          <t>Barra (6 metros)</t>
        </is>
      </c>
      <c r="D16" s="3" t="n">
        <v>85</v>
      </c>
    </row>
    <row r="17">
      <c r="A17" s="2" t="inlineStr">
        <is>
          <t>Metalon Ferro</t>
        </is>
      </c>
      <c r="B17" s="2" t="inlineStr">
        <is>
          <t>30x40 Chapa 20</t>
        </is>
      </c>
      <c r="C17" s="2" t="inlineStr">
        <is>
          <t>Barra (6 metros)</t>
        </is>
      </c>
      <c r="D17" s="3" t="n">
        <v>75</v>
      </c>
    </row>
    <row r="18">
      <c r="A18" s="2" t="inlineStr">
        <is>
          <t>Metalon Ferro</t>
        </is>
      </c>
      <c r="B18" s="2" t="inlineStr">
        <is>
          <t>30x50 Chapa 18</t>
        </is>
      </c>
      <c r="C18" s="2" t="inlineStr">
        <is>
          <t>Barra (6 metros)</t>
        </is>
      </c>
      <c r="D18" s="3" t="n">
        <v>95</v>
      </c>
    </row>
    <row r="19">
      <c r="A19" s="2" t="inlineStr">
        <is>
          <t>Metalon Ferro</t>
        </is>
      </c>
      <c r="B19" s="2" t="inlineStr">
        <is>
          <t>30x50 Chapa 20</t>
        </is>
      </c>
      <c r="C19" s="2" t="inlineStr">
        <is>
          <t>Barra (6 metros)</t>
        </is>
      </c>
      <c r="D19" s="3" t="n">
        <v>85</v>
      </c>
    </row>
    <row r="20">
      <c r="A20" s="2" t="inlineStr">
        <is>
          <t>Metalon Ferro</t>
        </is>
      </c>
      <c r="B20" s="2" t="inlineStr">
        <is>
          <t>30x70 Chapa 18</t>
        </is>
      </c>
      <c r="C20" s="2" t="inlineStr">
        <is>
          <t>Barra (6 metros)</t>
        </is>
      </c>
      <c r="D20" s="3" t="n">
        <v>125</v>
      </c>
    </row>
    <row r="21">
      <c r="A21" s="2" t="inlineStr">
        <is>
          <t>Metalon Ferro</t>
        </is>
      </c>
      <c r="B21" s="2" t="inlineStr">
        <is>
          <t>30x70 Chapa 20</t>
        </is>
      </c>
      <c r="C21" s="2" t="inlineStr">
        <is>
          <t>Barra (6 metros)</t>
        </is>
      </c>
      <c r="D21" s="3" t="n">
        <v>110</v>
      </c>
    </row>
    <row r="22">
      <c r="A22" s="2" t="inlineStr">
        <is>
          <t>Chapa Inox 304</t>
        </is>
      </c>
      <c r="B22" s="2" t="inlineStr">
        <is>
          <t>2.00x1.25m Ch18</t>
        </is>
      </c>
      <c r="C22" s="2" t="inlineStr">
        <is>
          <t>Chapa</t>
        </is>
      </c>
      <c r="D22" s="3" t="n">
        <v>450</v>
      </c>
    </row>
    <row r="23">
      <c r="A23" s="2" t="inlineStr">
        <is>
          <t>Chapa Inox 304</t>
        </is>
      </c>
      <c r="B23" s="2" t="inlineStr">
        <is>
          <t>2.00x1.25m Ch20</t>
        </is>
      </c>
      <c r="C23" s="2" t="inlineStr">
        <is>
          <t>Chapa</t>
        </is>
      </c>
      <c r="D23" s="3" t="n">
        <v>380</v>
      </c>
    </row>
    <row r="24">
      <c r="A24" s="2" t="inlineStr">
        <is>
          <t>Chapa Inox 304</t>
        </is>
      </c>
      <c r="B24" s="2" t="inlineStr">
        <is>
          <t>2.00x1.25m Ch22</t>
        </is>
      </c>
      <c r="C24" s="2" t="inlineStr">
        <is>
          <t>Chapa</t>
        </is>
      </c>
      <c r="D24" s="3" t="n">
        <v>320</v>
      </c>
    </row>
    <row r="25">
      <c r="A25" s="2" t="inlineStr">
        <is>
          <t>Chapa Inox 304</t>
        </is>
      </c>
      <c r="B25" s="2" t="inlineStr">
        <is>
          <t>3.00x1.25m Ch18</t>
        </is>
      </c>
      <c r="C25" s="2" t="inlineStr">
        <is>
          <t>Chapa</t>
        </is>
      </c>
      <c r="D25" s="3" t="n">
        <v>650</v>
      </c>
    </row>
    <row r="26">
      <c r="A26" s="2" t="inlineStr">
        <is>
          <t>Chapa Inox 304</t>
        </is>
      </c>
      <c r="B26" s="2" t="inlineStr">
        <is>
          <t>3.00x1.25m Ch20</t>
        </is>
      </c>
      <c r="C26" s="2" t="inlineStr">
        <is>
          <t>Chapa</t>
        </is>
      </c>
      <c r="D26" s="3" t="n">
        <v>550</v>
      </c>
    </row>
    <row r="27">
      <c r="A27" s="2" t="inlineStr">
        <is>
          <t>Chapa Inox 304</t>
        </is>
      </c>
      <c r="B27" s="2" t="inlineStr">
        <is>
          <t>3.00x1.25m Ch22</t>
        </is>
      </c>
      <c r="C27" s="2" t="inlineStr">
        <is>
          <t>Chapa</t>
        </is>
      </c>
      <c r="D27" s="3" t="n">
        <v>470</v>
      </c>
    </row>
    <row r="28">
      <c r="A28" s="2" t="inlineStr">
        <is>
          <t>Chapa Inox 430</t>
        </is>
      </c>
      <c r="B28" s="2" t="inlineStr">
        <is>
          <t>2.00x1.25m Ch18</t>
        </is>
      </c>
      <c r="C28" s="2" t="inlineStr">
        <is>
          <t>Chapa</t>
        </is>
      </c>
      <c r="D28" s="3" t="n">
        <v>350</v>
      </c>
    </row>
    <row r="29">
      <c r="A29" s="2" t="inlineStr">
        <is>
          <t>Chapa Inox 430</t>
        </is>
      </c>
      <c r="B29" s="2" t="inlineStr">
        <is>
          <t>2.00x1.25m Ch20</t>
        </is>
      </c>
      <c r="C29" s="2" t="inlineStr">
        <is>
          <t>Chapa</t>
        </is>
      </c>
      <c r="D29" s="3" t="n">
        <v>290</v>
      </c>
    </row>
    <row r="30">
      <c r="A30" s="2" t="inlineStr">
        <is>
          <t>Chapa Inox 430</t>
        </is>
      </c>
      <c r="B30" s="2" t="inlineStr">
        <is>
          <t>2.00x1.25m Ch22</t>
        </is>
      </c>
      <c r="C30" s="2" t="inlineStr">
        <is>
          <t>Chapa</t>
        </is>
      </c>
      <c r="D30" s="3" t="n">
        <v>240</v>
      </c>
    </row>
    <row r="31">
      <c r="A31" s="2" t="inlineStr">
        <is>
          <t>Chapa Inox 430</t>
        </is>
      </c>
      <c r="B31" s="2" t="inlineStr">
        <is>
          <t>3.00x1.25m Ch18</t>
        </is>
      </c>
      <c r="C31" s="2" t="inlineStr">
        <is>
          <t>Chapa</t>
        </is>
      </c>
      <c r="D31" s="3" t="n">
        <v>520</v>
      </c>
    </row>
    <row r="32">
      <c r="A32" s="2" t="inlineStr">
        <is>
          <t>Chapa Inox 430</t>
        </is>
      </c>
      <c r="B32" s="2" t="inlineStr">
        <is>
          <t>3.00x1.25m Ch20</t>
        </is>
      </c>
      <c r="C32" s="2" t="inlineStr">
        <is>
          <t>Chapa</t>
        </is>
      </c>
      <c r="D32" s="3" t="n">
        <v>430</v>
      </c>
    </row>
    <row r="33">
      <c r="A33" s="2" t="inlineStr">
        <is>
          <t>Chapa Inox 430</t>
        </is>
      </c>
      <c r="B33" s="2" t="inlineStr">
        <is>
          <t>3.00x1.25m Ch22</t>
        </is>
      </c>
      <c r="C33" s="2" t="inlineStr">
        <is>
          <t>Chapa</t>
        </is>
      </c>
      <c r="D33" s="3" t="n">
        <v>370</v>
      </c>
    </row>
    <row r="34">
      <c r="A34" s="2" t="inlineStr">
        <is>
          <t>Tubo Inox Bancada</t>
        </is>
      </c>
      <c r="B34" s="2" t="inlineStr">
        <is>
          <t>1.1/2" Chapa 18</t>
        </is>
      </c>
      <c r="C34" s="2" t="inlineStr">
        <is>
          <t>Barra (6 metros)</t>
        </is>
      </c>
      <c r="D34" s="3" t="n">
        <v>140</v>
      </c>
    </row>
    <row r="35">
      <c r="A35" s="2" t="inlineStr">
        <is>
          <t>Tubo Inox Bancada</t>
        </is>
      </c>
      <c r="B35" s="2" t="inlineStr">
        <is>
          <t>1.1/2" Chapa 20</t>
        </is>
      </c>
      <c r="C35" s="2" t="inlineStr">
        <is>
          <t>Barra (6 metros)</t>
        </is>
      </c>
      <c r="D35" s="3" t="n">
        <v>115</v>
      </c>
    </row>
    <row r="36">
      <c r="A36" s="2" t="inlineStr">
        <is>
          <t>Tubo Inox Barra Apoio</t>
        </is>
      </c>
      <c r="B36" s="2" t="inlineStr">
        <is>
          <t>1.1/4" 304 Ch18</t>
        </is>
      </c>
      <c r="C36" s="2" t="inlineStr">
        <is>
          <t>Barra (6 metros)</t>
        </is>
      </c>
      <c r="D36" s="3" t="n">
        <v>120</v>
      </c>
    </row>
    <row r="37">
      <c r="A37" s="2" t="inlineStr">
        <is>
          <t>Componente Inox</t>
        </is>
      </c>
      <c r="B37" s="2" t="inlineStr">
        <is>
          <t>Curva 90° 1.1/4"</t>
        </is>
      </c>
      <c r="C37" s="2" t="inlineStr">
        <is>
          <t>Unidade</t>
        </is>
      </c>
      <c r="D37" s="3" t="n">
        <v>15</v>
      </c>
    </row>
    <row r="38">
      <c r="A38" s="2" t="inlineStr">
        <is>
          <t>Componente Inox</t>
        </is>
      </c>
      <c r="B38" s="2" t="inlineStr">
        <is>
          <t>Flange 1.1/4"</t>
        </is>
      </c>
      <c r="C38" s="2" t="inlineStr">
        <is>
          <t>Unidade</t>
        </is>
      </c>
      <c r="D38" s="3" t="n">
        <v>8</v>
      </c>
    </row>
    <row r="39">
      <c r="A39" s="2" t="inlineStr">
        <is>
          <t>Componente Inox</t>
        </is>
      </c>
      <c r="B39" s="2" t="inlineStr">
        <is>
          <t>Canopla 1.1/4"</t>
        </is>
      </c>
      <c r="C39" s="2" t="inlineStr">
        <is>
          <t>Unidade</t>
        </is>
      </c>
      <c r="D39" s="3" t="n">
        <v>6</v>
      </c>
    </row>
    <row r="40">
      <c r="A40" s="2" t="inlineStr">
        <is>
          <t>Componente Inox</t>
        </is>
      </c>
      <c r="B40" s="2" t="inlineStr">
        <is>
          <t>Borracha para Pés</t>
        </is>
      </c>
      <c r="C40" s="2" t="inlineStr">
        <is>
          <t>Unidade</t>
        </is>
      </c>
      <c r="D40" s="3" t="n">
        <v>3.5</v>
      </c>
    </row>
    <row r="41">
      <c r="A41" s="2" t="inlineStr">
        <is>
          <t>Serviço Terceirizado</t>
        </is>
      </c>
      <c r="B41" s="2" t="inlineStr">
        <is>
          <t>Dobra de Chapa Inox</t>
        </is>
      </c>
      <c r="C41" s="2" t="inlineStr">
        <is>
          <t>Preço por Metro</t>
        </is>
      </c>
      <c r="D41" s="3" t="n">
        <v>25</v>
      </c>
    </row>
    <row r="42">
      <c r="A42" s="2" t="inlineStr">
        <is>
          <t>Insumo Oficina</t>
        </is>
      </c>
      <c r="B42" s="2" t="inlineStr">
        <is>
          <t>Pé de Regulagem Mesa</t>
        </is>
      </c>
      <c r="C42" s="2" t="inlineStr">
        <is>
          <t>Unidade</t>
        </is>
      </c>
      <c r="D42" s="3" t="n">
        <v>5</v>
      </c>
    </row>
    <row r="43">
      <c r="A43" s="2" t="inlineStr">
        <is>
          <t>Insumo Oficina</t>
        </is>
      </c>
      <c r="B43" s="2" t="inlineStr">
        <is>
          <t>Disco de Corte</t>
        </is>
      </c>
      <c r="C43" s="2" t="inlineStr">
        <is>
          <t>Unidade</t>
        </is>
      </c>
      <c r="D43" s="3" t="n">
        <v>4.5</v>
      </c>
    </row>
    <row r="44">
      <c r="A44" s="2" t="inlineStr">
        <is>
          <t>Insumo Oficina</t>
        </is>
      </c>
      <c r="B44" s="2" t="inlineStr">
        <is>
          <t>Disco Flap</t>
        </is>
      </c>
      <c r="C44" s="2" t="inlineStr">
        <is>
          <t>Unidade</t>
        </is>
      </c>
      <c r="D44" s="3" t="n">
        <v>7</v>
      </c>
    </row>
    <row r="45">
      <c r="A45" s="2" t="inlineStr">
        <is>
          <t>Insumo Oficina</t>
        </is>
      </c>
      <c r="B45" s="2" t="inlineStr">
        <is>
          <t>Parafusos Caixa</t>
        </is>
      </c>
      <c r="C45" s="2" t="inlineStr">
        <is>
          <t>Caixa (100 un)</t>
        </is>
      </c>
      <c r="D45" s="3" t="n">
        <v>25</v>
      </c>
    </row>
    <row r="46">
      <c r="A46" s="2" t="inlineStr">
        <is>
          <t>Insumo Oficina</t>
        </is>
      </c>
      <c r="B46" s="2" t="inlineStr">
        <is>
          <t>Solda (Eletrodo/MIG)</t>
        </is>
      </c>
      <c r="C46" s="2" t="inlineStr">
        <is>
          <t>Mesa/Bancada</t>
        </is>
      </c>
      <c r="D46" s="3" t="n">
        <v>15</v>
      </c>
    </row>
    <row r="47">
      <c r="A47" s="2" t="inlineStr">
        <is>
          <t>Insumo Oficina</t>
        </is>
      </c>
      <c r="B47" s="2" t="inlineStr">
        <is>
          <t>Pintura Estrutura</t>
        </is>
      </c>
      <c r="C47" s="2" t="inlineStr">
        <is>
          <t>Mesa</t>
        </is>
      </c>
      <c r="D47" s="3" t="n">
        <v>20</v>
      </c>
    </row>
    <row r="48">
      <c r="A48" s="2" t="inlineStr">
        <is>
          <t>Insumo Oficina</t>
        </is>
      </c>
      <c r="B48" s="2" t="inlineStr">
        <is>
          <t>Solda TIG + Argônio</t>
        </is>
      </c>
      <c r="C48" s="2" t="inlineStr">
        <is>
          <t>Bancada/Barra</t>
        </is>
      </c>
      <c r="D48" s="3" t="n">
        <v>30</v>
      </c>
    </row>
    <row r="49">
      <c r="A49" s="2" t="inlineStr">
        <is>
          <t>Insumo Oficina</t>
        </is>
      </c>
      <c r="B49" s="2" t="inlineStr">
        <is>
          <t>Insumos Polimento</t>
        </is>
      </c>
      <c r="C49" s="2" t="inlineStr">
        <is>
          <t>Peça</t>
        </is>
      </c>
      <c r="D49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6" customWidth="1" min="2" max="2"/>
    <col width="28" customWidth="1" min="3" max="3"/>
    <col width="76" customWidth="1" min="4" max="4"/>
    <col width="17" customWidth="1" min="5" max="5"/>
  </cols>
  <sheetData>
    <row r="1">
      <c r="A1" s="4" t="inlineStr">
        <is>
          <t>ORÇAMENTO DE MÓVEIS INDUSTRIAIS (CONFORME FOTO)</t>
        </is>
      </c>
    </row>
    <row r="2"/>
    <row r="3">
      <c r="A3" t="inlineStr">
        <is>
          <t>MEDIDAS DA MESA (Em metros)</t>
        </is>
      </c>
    </row>
    <row r="4">
      <c r="A4" t="inlineStr">
        <is>
          <t>Comprimento:</t>
        </is>
      </c>
      <c r="B4" s="5" t="n">
        <v>1.5</v>
      </c>
      <c r="D4" t="inlineStr">
        <is>
          <t>Cor do MDF desejada:</t>
        </is>
      </c>
      <c r="E4" s="5" t="inlineStr">
        <is>
          <t>Louro Freijó</t>
        </is>
      </c>
    </row>
    <row r="5">
      <c r="A5" t="inlineStr">
        <is>
          <t>Largura:</t>
        </is>
      </c>
      <c r="B5" s="5" t="n">
        <v>0.8</v>
      </c>
      <c r="D5" t="inlineStr">
        <is>
          <t>Modelo Metalon desejado:</t>
        </is>
      </c>
      <c r="E5" s="5" t="inlineStr">
        <is>
          <t>30x40 Chapa 18</t>
        </is>
      </c>
    </row>
    <row r="6">
      <c r="A6" t="inlineStr">
        <is>
          <t>Altura:</t>
        </is>
      </c>
      <c r="B6" s="5" t="n">
        <v>0.75</v>
      </c>
      <c r="D6" t="inlineStr">
        <is>
          <t>Margem de Lucro Desejada:</t>
        </is>
      </c>
      <c r="E6" s="6" t="n">
        <v>0.5</v>
      </c>
    </row>
    <row r="7"/>
    <row r="8"/>
    <row r="9">
      <c r="A9" s="7" t="inlineStr">
        <is>
          <t>Insumo / Componente</t>
        </is>
      </c>
      <c r="B9" s="7" t="inlineStr">
        <is>
          <t>Fórmula Comercial Proporcional</t>
        </is>
      </c>
      <c r="C9" s="7" t="inlineStr">
        <is>
          <t>Quantidade Usada</t>
        </is>
      </c>
      <c r="D9" s="7" t="inlineStr">
        <is>
          <t>Preço Un. Cheio (R$)</t>
        </is>
      </c>
      <c r="E9" s="7" t="inlineStr">
        <is>
          <t>Subtotal (R$)</t>
        </is>
      </c>
    </row>
    <row r="10">
      <c r="A10" t="inlineStr">
        <is>
          <t>Tampo MDF</t>
        </is>
      </c>
      <c r="B10" t="inlineStr">
        <is>
          <t>Área da mesa / Área da Chapa (5.06 m²)</t>
        </is>
      </c>
      <c r="C10" s="8">
        <f>(B4*B5)/5.06</f>
        <v/>
      </c>
      <c r="D10" s="9">
        <f>VLOOKUP(E4, 'Preços dos Materiais'!B2:D50, 2, FALSE)</f>
        <v/>
      </c>
      <c r="E10" s="9">
        <f>C10*D10</f>
        <v/>
      </c>
    </row>
    <row r="11">
      <c r="A11" t="inlineStr">
        <is>
          <t>Fita de Borda</t>
        </is>
      </c>
      <c r="B11" t="inlineStr">
        <is>
          <t>Perímetro do tampo / Rolo de 20 metros</t>
        </is>
      </c>
      <c r="C11" s="8">
        <f>((B4+B5)*2)/20</f>
        <v/>
      </c>
      <c r="D11" s="9">
        <f>VLOOKUP(E4, 'Preços dos Materiais'!B6:D50, 2, FALSE)</f>
        <v/>
      </c>
      <c r="E11" s="9">
        <f>C11*D11</f>
        <v/>
      </c>
    </row>
    <row r="12">
      <c r="A12" t="inlineStr">
        <is>
          <t>Estrutura Metalon Ferro</t>
        </is>
      </c>
      <c r="B12" t="inlineStr">
        <is>
          <t>4 Pernas + 4 Travas Laterais + 2 Travas Longas (Foto)</t>
        </is>
      </c>
      <c r="C12" s="8">
        <f>((B6*4)+(B5*4)+(B4*2))/6</f>
        <v/>
      </c>
      <c r="D12" s="9">
        <f>VLOOKUP(E5, 'Preços dos Materiais'!B2:D50, 2, FALSE)</f>
        <v/>
      </c>
      <c r="E12" s="9">
        <f>C12*D12</f>
        <v/>
      </c>
    </row>
    <row r="13">
      <c r="A13" t="inlineStr">
        <is>
          <t>Pés de Regulagem Niveladores</t>
        </is>
      </c>
      <c r="B13" t="inlineStr">
        <is>
          <t>Fixo 4 unidades rosqueadas por mesa (Foto)</t>
        </is>
      </c>
      <c r="C13" s="8" t="n">
        <v>4</v>
      </c>
      <c r="D13" s="9">
        <f>VLOOKUP("Pé de Regulagem Mesa", 'Preços dos Materiais'!B2:D50, 2, FALSE)</f>
        <v/>
      </c>
      <c r="E13" s="9">
        <f>C13*D13</f>
        <v/>
      </c>
    </row>
    <row r="14">
      <c r="A14" t="inlineStr">
        <is>
          <t>Parafusos de Fixação</t>
        </is>
      </c>
      <c r="B14" t="inlineStr">
        <is>
          <t>Fração média estimada por tampo preso</t>
        </is>
      </c>
      <c r="C14" s="8" t="n">
        <v>0.2</v>
      </c>
      <c r="D14" s="9">
        <f>VLOOKUP("Parafusos Caixa", 'Preços dos Materiais'!B2:D50, 2, FALSE)</f>
        <v/>
      </c>
      <c r="E14" s="9">
        <f>C14*D14</f>
        <v/>
      </c>
    </row>
    <row r="15">
      <c r="A15" t="inlineStr">
        <is>
          <t>Disco de Corte</t>
        </is>
      </c>
      <c r="B15" t="inlineStr">
        <is>
          <t>Gasto médio por cortes da estrutura</t>
        </is>
      </c>
      <c r="C15" s="8" t="n">
        <v>1</v>
      </c>
      <c r="D15" s="9">
        <f>VLOOKUP("Disco de Corte", 'Preços dos Materiais'!B2:D50, 2, FALSE)</f>
        <v/>
      </c>
      <c r="E15" s="9">
        <f>C15*D15</f>
        <v/>
      </c>
    </row>
    <row r="16">
      <c r="A16" t="inlineStr">
        <is>
          <t>Disco Flap</t>
        </is>
      </c>
      <c r="B16" t="inlineStr">
        <is>
          <t>Gasto médio para acabamento e desbaste</t>
        </is>
      </c>
      <c r="C16" s="8" t="n">
        <v>0.5</v>
      </c>
      <c r="D16" s="9">
        <f>VLOOKUP("Disco Flap", 'Preços dos Materiais'!B2:D50, 2, FALSE)</f>
        <v/>
      </c>
      <c r="E16" s="9">
        <f>C16*D16</f>
        <v/>
      </c>
    </row>
    <row r="17">
      <c r="A17" t="inlineStr">
        <is>
          <t>Insumo de Solda</t>
        </is>
      </c>
      <c r="B17" t="inlineStr">
        <is>
          <t>Gasto médio fixado por estrutura soldada</t>
        </is>
      </c>
      <c r="C17" s="8" t="n">
        <v>1</v>
      </c>
      <c r="D17" s="9">
        <f>VLOOKUP("Solda (Eletrodo/MIG)", 'Preços dos Materiais'!B2:D50, 2, FALSE)</f>
        <v/>
      </c>
      <c r="E17" s="9">
        <f>C17*D17</f>
        <v/>
      </c>
    </row>
    <row r="18">
      <c r="A18" t="inlineStr">
        <is>
          <t>Pintura da Estrutura</t>
        </is>
      </c>
      <c r="B18" t="inlineStr">
        <is>
          <t>Gasto fixado por fundo protetor e acabamento</t>
        </is>
      </c>
      <c r="C18" s="8" t="n">
        <v>1</v>
      </c>
      <c r="D18" s="9">
        <f>VLOOKUP("Pintura Estrutura", 'Preços dos Materiais'!B2:D50, 2, FALSE)</f>
        <v/>
      </c>
      <c r="E18" s="9">
        <f>C18*D18</f>
        <v/>
      </c>
    </row>
    <row r="19"/>
    <row r="20">
      <c r="D20" t="inlineStr">
        <is>
          <t>CUSTO TOTAL DA MATÉRIA-PRIMA:</t>
        </is>
      </c>
      <c r="E20" s="10">
        <f>SUM(E10:E18)</f>
        <v/>
      </c>
    </row>
    <row r="21">
      <c r="D21" t="inlineStr">
        <is>
          <t>PREÇO DE VENDA SUGERIDO:</t>
        </is>
      </c>
      <c r="E21" s="10">
        <f>E20/(1-E6)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53" customWidth="1" min="2" max="2"/>
    <col width="71" customWidth="1" min="3" max="3"/>
    <col width="75" customWidth="1" min="4" max="4"/>
    <col width="18" customWidth="1" min="5" max="5"/>
  </cols>
  <sheetData>
    <row r="1">
      <c r="A1" s="4" t="inlineStr">
        <is>
          <t>ORÇAMENTO DE BANCADAS EM AÇO INOXIDÁVEL</t>
        </is>
      </c>
    </row>
    <row r="2"/>
    <row r="3">
      <c r="A3" t="inlineStr">
        <is>
          <t>MEDIDAS DA BANCADA (Em metros)</t>
        </is>
      </c>
    </row>
    <row r="4">
      <c r="A4" t="inlineStr">
        <is>
          <t>Comprimento:</t>
        </is>
      </c>
      <c r="B4" s="5" t="n">
        <v>2</v>
      </c>
      <c r="D4" t="inlineStr">
        <is>
          <t>Modelo (1 = Bancada Dupla | 2 = Simples Gradeada):</t>
        </is>
      </c>
      <c r="E4" s="5" t="n">
        <v>1</v>
      </c>
    </row>
    <row r="5">
      <c r="A5" t="inlineStr">
        <is>
          <t>Largura:</t>
        </is>
      </c>
      <c r="B5" s="5" t="n">
        <v>0.7</v>
      </c>
      <c r="D5" t="inlineStr">
        <is>
          <t>Chapa de Inox Escolhida:</t>
        </is>
      </c>
      <c r="E5" s="5" t="inlineStr">
        <is>
          <t>3.00x1.25m Ch18</t>
        </is>
      </c>
    </row>
    <row r="6">
      <c r="A6" t="inlineStr">
        <is>
          <t>Altura:</t>
        </is>
      </c>
      <c r="B6" s="5" t="n">
        <v>0.85</v>
      </c>
      <c r="D6" t="inlineStr">
        <is>
          <t>Modelo do Tubo Inox (Pés):</t>
        </is>
      </c>
      <c r="E6" s="5" t="inlineStr">
        <is>
          <t>1.1/2" Chapa 18</t>
        </is>
      </c>
    </row>
    <row r="7">
      <c r="D7" t="inlineStr">
        <is>
          <t>Margem de Lucro Desejada:</t>
        </is>
      </c>
      <c r="E7" s="6" t="n">
        <v>0.5</v>
      </c>
    </row>
    <row r="8"/>
    <row r="9"/>
    <row r="10">
      <c r="A10" s="7" t="inlineStr">
        <is>
          <t>Insumo / Componente</t>
        </is>
      </c>
      <c r="B10" s="7" t="inlineStr">
        <is>
          <t>Fórmula de Proporção e Desgaste</t>
        </is>
      </c>
      <c r="C10" s="7" t="inlineStr">
        <is>
          <t>Quantidade Usada</t>
        </is>
      </c>
      <c r="D10" s="7" t="inlineStr">
        <is>
          <t>Preço Un. Cheio (R$)</t>
        </is>
      </c>
      <c r="E10" s="7" t="inlineStr">
        <is>
          <t>Subtotal (R$)</t>
        </is>
      </c>
    </row>
    <row r="11">
      <c r="A11" t="inlineStr">
        <is>
          <t>Chapa de Aço Inox</t>
        </is>
      </c>
      <c r="B11" t="inlineStr">
        <is>
          <t>Área total / Área chapa comercial (3.75 m²)</t>
        </is>
      </c>
      <c r="C11" s="8">
        <f>IF(E4=1, ((B4*B5)/3.75)*2, (B4*B5)/3.75)</f>
        <v/>
      </c>
      <c r="D11" s="9">
        <f>VLOOKUP(E5, 'Preços dos Materiais'!B2:D50, 2, FALSE)</f>
        <v/>
      </c>
      <c r="E11" s="9">
        <f>C11*D11</f>
        <v/>
      </c>
    </row>
    <row r="12">
      <c r="A12" t="inlineStr">
        <is>
          <t>Serviço de Dobra Terceirizado</t>
        </is>
      </c>
      <c r="B12" t="inlineStr">
        <is>
          <t>Perímetro linear de dobras totais por metro</t>
        </is>
      </c>
      <c r="C12" s="8">
        <f>IF(E4=1, ((B4+B5)*2)*2, (B4+B5)*2)</f>
        <v/>
      </c>
      <c r="D12" s="9">
        <f>VLOOKUP("Dobra de Chapa Inox", 'Preços dos Materiais'!B2:D50, 2, FALSE)</f>
        <v/>
      </c>
      <c r="E12" s="9">
        <f>C12*D12</f>
        <v/>
      </c>
    </row>
    <row r="13">
      <c r="A13" t="inlineStr">
        <is>
          <t>Estrutura e Gradeado (Tubos)</t>
        </is>
      </c>
      <c r="B13" t="inlineStr">
        <is>
          <t>Cálculo dos 4 pés + travamentos + grade inferior</t>
        </is>
      </c>
      <c r="C13" s="8">
        <f>IF(E4=1, ((B6*4)+(B4*4)+(B5*4))/6, ((B6*4)+(B4*4)+(B5*4)+(B4*3))/6)</f>
        <v/>
      </c>
      <c r="D13" s="9">
        <f>VLOOKUP(E6, 'Preços dos Materiais'!B2:D50, 2, FALSE)</f>
        <v/>
      </c>
      <c r="E13" s="9">
        <f>C13*D13</f>
        <v/>
      </c>
    </row>
    <row r="14">
      <c r="A14" t="inlineStr">
        <is>
          <t>Borrachas de Vedação Pés</t>
        </is>
      </c>
      <c r="B14" t="inlineStr">
        <is>
          <t>Fixo 4 ponteiras de borracha protetora por bancada</t>
        </is>
      </c>
      <c r="C14" s="8" t="n">
        <v>4</v>
      </c>
      <c r="D14" s="9">
        <f>VLOOKUP("Borracha para Pés", 'Preços dos Materiais'!B2:D50, 2, FALSE)</f>
        <v/>
      </c>
      <c r="E14" s="9">
        <f>C14*D14</f>
        <v/>
      </c>
    </row>
    <row r="15">
      <c r="A15" t="inlineStr">
        <is>
          <t>Solda TIG + Gás Argônio</t>
        </is>
      </c>
      <c r="B15" t="inlineStr">
        <is>
          <t>Insumos e consumo de fixação de inox</t>
        </is>
      </c>
      <c r="C15" s="8" t="n">
        <v>1</v>
      </c>
      <c r="D15" s="9">
        <f>VLOOKUP("Solda TIG + Argônio", 'Preços dos Materiais'!B2:D50, 2, FALSE)</f>
        <v/>
      </c>
      <c r="E15" s="9">
        <f>C15*D15</f>
        <v/>
      </c>
    </row>
    <row r="16">
      <c r="A16" t="inlineStr">
        <is>
          <t>Insumos de Polimento</t>
        </is>
      </c>
      <c r="B16" t="inlineStr">
        <is>
          <t>Massas de polir e discos de feltro de acabamento</t>
        </is>
      </c>
      <c r="C16" s="8" t="n">
        <v>1</v>
      </c>
      <c r="D16" s="9">
        <f>VLOOKUP("Insumos Polimento", 'Preços dos Materiais'!B2:D50, 2, FALSE)</f>
        <v/>
      </c>
      <c r="E16" s="9">
        <f>C16*D16</f>
        <v/>
      </c>
    </row>
    <row r="17"/>
    <row r="18">
      <c r="D18" t="inlineStr">
        <is>
          <t>CUSTO TOTAL DA BANCADA:</t>
        </is>
      </c>
      <c r="E18" s="10">
        <f>SUM(E11:E16)</f>
        <v/>
      </c>
    </row>
    <row r="19">
      <c r="D19" t="inlineStr">
        <is>
          <t>PREÇO DE VENDA SUGERIDO:</t>
        </is>
      </c>
      <c r="E19" s="10">
        <f>E18/(1-E7)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54" customWidth="1" min="2" max="2"/>
    <col width="29" customWidth="1" min="3" max="3"/>
    <col width="75" customWidth="1" min="4" max="4"/>
    <col width="16" customWidth="1" min="5" max="5"/>
  </cols>
  <sheetData>
    <row r="1">
      <c r="A1" s="4" t="inlineStr">
        <is>
          <t>ORÇAMENTO DE BARRAS DE APOIO POR TAMANHO REAL</t>
        </is>
      </c>
    </row>
    <row r="2"/>
    <row r="3">
      <c r="A3" t="inlineStr">
        <is>
          <t>DIGITE AS MEDIDAS DA PEÇA (Em metros)</t>
        </is>
      </c>
    </row>
    <row r="4">
      <c r="A4" t="inlineStr">
        <is>
          <t>Modelo (1 = Barra Reta | 2 = Em L Parede ao Chão):</t>
        </is>
      </c>
      <c r="B4" s="5" t="n">
        <v>2</v>
      </c>
    </row>
    <row r="5">
      <c r="A5" t="inlineStr">
        <is>
          <t>Comprimento (Avanço na Parede):</t>
        </is>
      </c>
      <c r="B5" s="5" t="n">
        <v>0.7</v>
      </c>
    </row>
    <row r="6">
      <c r="A6" t="inlineStr">
        <is>
          <t>Altura (Descida até o Chão - se houver):</t>
        </is>
      </c>
      <c r="B6" s="5" t="n">
        <v>0.75</v>
      </c>
    </row>
    <row r="7">
      <c r="A7" t="inlineStr">
        <is>
          <t>Margem de Lucro Desejada:</t>
        </is>
      </c>
      <c r="B7" s="6" t="n">
        <v>0.5</v>
      </c>
    </row>
    <row r="8"/>
    <row r="9"/>
    <row r="10">
      <c r="A10" s="7" t="inlineStr">
        <is>
          <t>Insumo / Componente</t>
        </is>
      </c>
      <c r="B10" s="7" t="inlineStr">
        <is>
          <t>Especificação Técnica de Fábrica</t>
        </is>
      </c>
      <c r="C10" s="7" t="inlineStr">
        <is>
          <t>Quantidade Usada</t>
        </is>
      </c>
      <c r="D10" s="7" t="inlineStr">
        <is>
          <t>Preço Un. Cheio (R$)</t>
        </is>
      </c>
      <c r="E10" s="7" t="inlineStr">
        <is>
          <t>Subtotal (R$)</t>
        </is>
      </c>
    </row>
    <row r="11">
      <c r="A11" t="inlineStr">
        <is>
          <t>Tubo Inox 1.1/4" 304 Ch18</t>
        </is>
      </c>
      <c r="B11" t="inlineStr">
        <is>
          <t>Metragem total somada / Barra de 6 metros</t>
        </is>
      </c>
      <c r="C11" s="8">
        <f>IF(B4=1, B5/6, (B5+B6)/6)</f>
        <v/>
      </c>
      <c r="D11" s="9">
        <f>VLOOKUP("1.1/4"" 304 Ch18", 'Preços dos Materiais'!B2:D50, 2, FALSE)</f>
        <v/>
      </c>
      <c r="E11" s="9">
        <f>C11*D11</f>
        <v/>
      </c>
    </row>
    <row r="12">
      <c r="A12" t="inlineStr">
        <is>
          <t>Curva de 90° 1.1/4"</t>
        </is>
      </c>
      <c r="B12" t="inlineStr">
        <is>
          <t>Adiciona 1 unidade automática para junção de canto</t>
        </is>
      </c>
      <c r="C12" s="8">
        <f>IF(B4=1, 0, 1)</f>
        <v/>
      </c>
      <c r="D12" s="9">
        <f>VLOOKUP("Curva 90° 1.1/4""", 'Preços dos Materiais'!B2:D50, 2, FALSE)</f>
        <v/>
      </c>
      <c r="E12" s="9">
        <f>C12*D12</f>
        <v/>
      </c>
    </row>
    <row r="13">
      <c r="A13" t="inlineStr">
        <is>
          <t>Flanges de Fixação</t>
        </is>
      </c>
      <c r="B13" t="inlineStr">
        <is>
          <t>Fixo 2 flanges de fixação estrutural reforçada</t>
        </is>
      </c>
      <c r="C13" s="8" t="n">
        <v>2</v>
      </c>
      <c r="D13" s="9">
        <f>VLOOKUP("Flange 1.1/4""", 'Preços dos Materiais'!B2:D50, 2, FALSE)</f>
        <v/>
      </c>
      <c r="E13" s="9">
        <f>C13*D13</f>
        <v/>
      </c>
    </row>
    <row r="14">
      <c r="A14" t="inlineStr">
        <is>
          <t>Canoplas de Acabamento</t>
        </is>
      </c>
      <c r="B14" t="inlineStr">
        <is>
          <t>Fixo 2 canoplas de cobertura protetora de parafusos</t>
        </is>
      </c>
      <c r="C14" s="8" t="n">
        <v>2</v>
      </c>
      <c r="D14" s="9">
        <f>VLOOKUP("Canopla 1.1/4""", 'Preços dos Materiais'!B2:D50, 2, FALSE)</f>
        <v/>
      </c>
      <c r="E14" s="9">
        <f>C14*D14</f>
        <v/>
      </c>
    </row>
    <row r="15">
      <c r="A15" t="inlineStr">
        <is>
          <t>Solda TIG + Gás Argônio</t>
        </is>
      </c>
      <c r="B15" t="inlineStr">
        <is>
          <t>Fração de insumos e tratamento de emendas</t>
        </is>
      </c>
      <c r="C15" s="8" t="n">
        <v>0.5</v>
      </c>
      <c r="D15" s="9">
        <f>VLOOKUP("Solda TIG + Argônio", 'Preços dos Materiais'!B2:D50, 2, FALSE)</f>
        <v/>
      </c>
      <c r="E15" s="9">
        <f>C15*D15</f>
        <v/>
      </c>
    </row>
    <row r="16">
      <c r="A16" t="inlineStr">
        <is>
          <t>Insumos de Polimento</t>
        </is>
      </c>
      <c r="B16" t="inlineStr">
        <is>
          <t>Gasto médio para acabamento alto brilho/escovado</t>
        </is>
      </c>
      <c r="C16" s="8" t="n">
        <v>0.5</v>
      </c>
      <c r="D16" s="9">
        <f>VLOOKUP("Insumos Polimento", 'Preços dos Materiais'!B2:D50, 2, FALSE)</f>
        <v/>
      </c>
      <c r="E16" s="9">
        <f>C16*D16</f>
        <v/>
      </c>
    </row>
    <row r="17"/>
    <row r="18">
      <c r="D18" t="inlineStr">
        <is>
          <t>CUSTO TOTAL DA BARRA:</t>
        </is>
      </c>
      <c r="E18" s="10">
        <f>SUM(E11:E16)</f>
        <v/>
      </c>
    </row>
    <row r="19">
      <c r="D19" t="inlineStr">
        <is>
          <t>PREÇO DE VENDA SUGERIDO:</t>
        </is>
      </c>
      <c r="E19" s="10">
        <f>E18/(1-B7)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2026-08-29T14:03:59Z</dcterms:created>
  <dcterms:modified xmlns:dcterms="http://purl.org/dc/terms/" xmlns:xsi="http://www.w3.org/2001/XMLSchema-instance" xsi:type="dcterms:W3CDTF">2026-08-29T14:03:59Z</dcterms:modified>
</cp:coreProperties>
</file>